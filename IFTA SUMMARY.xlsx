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aronh\Desktop\New Biz\"/>
    </mc:Choice>
  </mc:AlternateContent>
  <xr:revisionPtr revIDLastSave="0" documentId="13_ncr:1_{75F6F5B5-5F6C-4D75-AC5F-062EA6553C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definedNames>
    <definedName name="AK">DATA!$J$5</definedName>
    <definedName name="AL">DATA!$J$6</definedName>
    <definedName name="AR">DATA!$J$7</definedName>
    <definedName name="AZ">DATA!$J$8</definedName>
    <definedName name="CA">DATA!$J$9</definedName>
    <definedName name="CAN">DATA!$J$69</definedName>
    <definedName name="CO">DATA!$J$10</definedName>
    <definedName name="CT">DATA!$J$11</definedName>
    <definedName name="DC">DATA!$J$12</definedName>
    <definedName name="DE">DATA!$J$13</definedName>
    <definedName name="FL">DATA!$J$14</definedName>
    <definedName name="GA">DATA!$J$15</definedName>
    <definedName name="IA">DATA!$J$16</definedName>
    <definedName name="ID">DATA!$J$17</definedName>
    <definedName name="IL">DATA!$J$18</definedName>
    <definedName name="IN">DATA!$J$19</definedName>
    <definedName name="KS">DATA!$J$20</definedName>
    <definedName name="KY">DATA!$J$21</definedName>
    <definedName name="LA">DATA!$J$22</definedName>
    <definedName name="MA">DATA!$J$23</definedName>
    <definedName name="MD">DATA!$J$24</definedName>
    <definedName name="ME">DATA!$J$25</definedName>
    <definedName name="MI">DATA!$J$26</definedName>
    <definedName name="MN">DATA!$J$27</definedName>
    <definedName name="MO">DATA!$J$28</definedName>
    <definedName name="MS">DATA!$J$29</definedName>
    <definedName name="MT">DATA!$J$30</definedName>
    <definedName name="NC">DATA!$J$31</definedName>
    <definedName name="ND">DATA!$J$32</definedName>
    <definedName name="NE">DATA!$J$33</definedName>
    <definedName name="NH">DATA!$J$34</definedName>
    <definedName name="NJ">DATA!$J$35</definedName>
    <definedName name="NM">DATA!$J$36</definedName>
    <definedName name="NV">DATA!$J$37</definedName>
    <definedName name="NY">DATA!$J$38</definedName>
    <definedName name="OH">DATA!$J$39</definedName>
    <definedName name="OK">DATA!$J$40</definedName>
    <definedName name="OR">DATA!$J$41</definedName>
    <definedName name="PA">DATA!$J$42</definedName>
    <definedName name="_xlnm.Print_Area" localSheetId="0">DATA!$B$4:$M$70</definedName>
    <definedName name="PRINT1">DATA!$B$4:$M$70</definedName>
    <definedName name="PRINT2">#REF!</definedName>
    <definedName name="RI">DATA!$J$43</definedName>
    <definedName name="SC">DATA!$J$44</definedName>
    <definedName name="SD">DATA!$J$45</definedName>
    <definedName name="TN">DATA!$J$46</definedName>
    <definedName name="TX">DATA!$J$47</definedName>
    <definedName name="UT">DATA!$J$48</definedName>
    <definedName name="VA">DATA!$J$49</definedName>
    <definedName name="VT">DATA!$J$50</definedName>
    <definedName name="WA">DATA!$J$51</definedName>
    <definedName name="WI">DATA!$J$52</definedName>
    <definedName name="WV">DATA!$J$53</definedName>
    <definedName name="WY">DATA!$J$54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1" l="1"/>
  <c r="L8" i="1"/>
  <c r="I5" i="1"/>
  <c r="J5" i="1" s="1"/>
  <c r="I11" i="1"/>
  <c r="I12" i="1"/>
  <c r="J12" i="1" s="1"/>
  <c r="I13" i="1"/>
  <c r="I14" i="1"/>
  <c r="I22" i="1"/>
  <c r="I23" i="1"/>
  <c r="I24" i="1"/>
  <c r="I25" i="1"/>
  <c r="I29" i="1"/>
  <c r="I34" i="1"/>
  <c r="I35" i="1"/>
  <c r="I38" i="1"/>
  <c r="I43" i="1"/>
  <c r="I50" i="1"/>
  <c r="I53" i="1"/>
  <c r="I6" i="1"/>
  <c r="I7" i="1"/>
  <c r="I8" i="1"/>
  <c r="I9" i="1"/>
  <c r="I15" i="1"/>
  <c r="I18" i="1"/>
  <c r="I19" i="1"/>
  <c r="I26" i="1"/>
  <c r="I28" i="1"/>
  <c r="I39" i="1"/>
  <c r="I42" i="1"/>
  <c r="I47" i="1"/>
  <c r="I49" i="1"/>
  <c r="I51" i="1"/>
  <c r="I10" i="1"/>
  <c r="I21" i="1"/>
  <c r="I27" i="1"/>
  <c r="I31" i="1"/>
  <c r="I37" i="1"/>
  <c r="I40" i="1"/>
  <c r="I41" i="1"/>
  <c r="I44" i="1"/>
  <c r="I46" i="1"/>
  <c r="I52" i="1"/>
  <c r="I16" i="1"/>
  <c r="I17" i="1"/>
  <c r="I20" i="1"/>
  <c r="I30" i="1"/>
  <c r="I32" i="1"/>
  <c r="I33" i="1"/>
  <c r="I36" i="1"/>
  <c r="I45" i="1"/>
  <c r="I48" i="1"/>
  <c r="I54" i="1"/>
  <c r="I58" i="1"/>
  <c r="I56" i="1"/>
  <c r="I57" i="1"/>
  <c r="I59" i="1"/>
  <c r="L10" i="1" s="1"/>
  <c r="I60" i="1"/>
  <c r="I61" i="1"/>
  <c r="I62" i="1"/>
  <c r="I63" i="1"/>
  <c r="I64" i="1"/>
  <c r="I65" i="1"/>
  <c r="I66" i="1"/>
  <c r="I67" i="1"/>
  <c r="L11" i="1" s="1"/>
  <c r="G70" i="1"/>
  <c r="F70" i="1"/>
  <c r="E70" i="1"/>
  <c r="D70" i="1"/>
  <c r="H69" i="1"/>
  <c r="G69" i="1"/>
  <c r="F69" i="1"/>
  <c r="E69" i="1"/>
  <c r="H68" i="1"/>
  <c r="G68" i="1"/>
  <c r="F68" i="1"/>
  <c r="E68" i="1"/>
  <c r="D69" i="1"/>
  <c r="D68" i="1"/>
  <c r="H70" i="1"/>
  <c r="L6" i="1" l="1"/>
  <c r="L5" i="1"/>
  <c r="I70" i="1"/>
  <c r="J56" i="1" s="1"/>
  <c r="I68" i="1"/>
  <c r="L7" i="1"/>
  <c r="I69" i="1"/>
  <c r="J59" i="1" l="1"/>
  <c r="L12" i="1"/>
  <c r="M12" i="1" s="1"/>
  <c r="J67" i="1"/>
  <c r="J62" i="1"/>
  <c r="J64" i="1"/>
  <c r="J61" i="1"/>
  <c r="J60" i="1"/>
  <c r="J43" i="1"/>
  <c r="J66" i="1"/>
  <c r="J58" i="1"/>
  <c r="J57" i="1"/>
  <c r="J11" i="1"/>
  <c r="J23" i="1"/>
  <c r="J25" i="1"/>
  <c r="J50" i="1"/>
  <c r="J65" i="1"/>
  <c r="J34" i="1"/>
  <c r="J53" i="1"/>
  <c r="J27" i="1"/>
  <c r="J26" i="1"/>
  <c r="J54" i="1"/>
  <c r="J51" i="1"/>
  <c r="J52" i="1"/>
  <c r="J48" i="1"/>
  <c r="J49" i="1"/>
  <c r="J44" i="1"/>
  <c r="J47" i="1"/>
  <c r="J46" i="1"/>
  <c r="J45" i="1"/>
  <c r="J40" i="1"/>
  <c r="J42" i="1"/>
  <c r="J41" i="1"/>
  <c r="J63" i="1"/>
  <c r="J22" i="1"/>
  <c r="J32" i="1"/>
  <c r="J39" i="1"/>
  <c r="J37" i="1"/>
  <c r="J38" i="1"/>
  <c r="J36" i="1"/>
  <c r="J35" i="1"/>
  <c r="J69" i="1"/>
  <c r="J68" i="1"/>
  <c r="J19" i="1"/>
  <c r="J21" i="1"/>
  <c r="J9" i="1"/>
  <c r="J33" i="1"/>
  <c r="J20" i="1"/>
  <c r="J15" i="1"/>
  <c r="J14" i="1"/>
  <c r="J10" i="1"/>
  <c r="J16" i="1"/>
  <c r="J29" i="1"/>
  <c r="J31" i="1"/>
  <c r="J7" i="1"/>
  <c r="J17" i="1"/>
  <c r="M11" i="1"/>
  <c r="J13" i="1"/>
  <c r="J8" i="1"/>
  <c r="J18" i="1"/>
  <c r="J30" i="1"/>
  <c r="J24" i="1"/>
  <c r="J6" i="1"/>
  <c r="J28" i="1"/>
  <c r="M9" i="1" l="1"/>
  <c r="M10" i="1"/>
  <c r="M6" i="1"/>
  <c r="M7" i="1"/>
  <c r="M8" i="1"/>
  <c r="J70" i="1"/>
  <c r="M5" i="1"/>
</calcChain>
</file>

<file path=xl/sharedStrings.xml><?xml version="1.0" encoding="utf-8"?>
<sst xmlns="http://schemas.openxmlformats.org/spreadsheetml/2006/main" count="108" uniqueCount="80">
  <si>
    <t>STATE</t>
  </si>
  <si>
    <t>YEAR</t>
  </si>
  <si>
    <t>TOTAL</t>
  </si>
  <si>
    <t>MILES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</si>
  <si>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</si>
  <si>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</si>
  <si>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</si>
  <si>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</si>
  <si>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</si>
  <si>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</si>
  <si>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</si>
  <si>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</si>
  <si>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</si>
  <si>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</si>
  <si>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</si>
  <si>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</si>
  <si>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</si>
  <si>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</si>
  <si>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</si>
  <si>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</si>
  <si>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</si>
  <si>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</si>
  <si>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</si>
  <si>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</si>
  <si>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</si>
  <si>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</si>
  <si>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</si>
  <si>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</si>
  <si>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</si>
  <si>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</si>
  <si>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</si>
  <si>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</si>
  <si>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</si>
  <si>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</si>
  <si>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</si>
  <si>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</si>
  <si>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</si>
  <si>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</si>
  <si>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</si>
  <si>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</si>
  <si>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</si>
  <si>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</si>
  <si>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</si>
  <si>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</si>
  <si>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</si>
  <si>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</si>
  <si>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</si>
  <si>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</si>
  <si>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</si>
  <si>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</si>
  <si>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</si>
  <si>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</si>
  <si>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</si>
  <si>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</si>
  <si>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ZONE</t>
  </si>
  <si>
    <t>Canada</t>
  </si>
  <si>
    <t>ON</t>
  </si>
  <si>
    <t>NB</t>
  </si>
  <si>
    <t>MB</t>
  </si>
  <si>
    <t>AB</t>
  </si>
  <si>
    <t>BC</t>
  </si>
  <si>
    <t>USA</t>
  </si>
  <si>
    <t>% of total</t>
  </si>
  <si>
    <t>QC</t>
  </si>
  <si>
    <t>SK</t>
  </si>
  <si>
    <t>NL</t>
  </si>
  <si>
    <t>NS</t>
  </si>
  <si>
    <t>NT</t>
  </si>
  <si>
    <t>PE</t>
  </si>
  <si>
    <t>YT</t>
  </si>
  <si>
    <t>Insured Name</t>
  </si>
  <si>
    <t>Policy Number</t>
  </si>
  <si>
    <t xml:space="preserve"> </t>
  </si>
  <si>
    <t>Q1</t>
  </si>
  <si>
    <t>Q2</t>
  </si>
  <si>
    <t>Q3</t>
  </si>
  <si>
    <t>Q4</t>
  </si>
  <si>
    <t>WST</t>
  </si>
  <si>
    <t>EST</t>
  </si>
  <si>
    <t>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</si>
</sst>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0;"/>
    <numFmt numFmtId="165" formatCode="0.0%"/>
  </numFmts>
  <fonts count="1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5CE4D"/>
        <bgColor indexed="64"/>
      </patternFill>
    </fill>
    <fill>
      <patternFill patternType="solid">
        <fgColor rgb="FF5B677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1" fillId="0" borderId="0" xfId="0" applyFont="1"/>
    <xf numFmtId="0" fontId="4" fillId="3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7" xfId="0" quotePrefix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1" fontId="4" fillId="3" borderId="6" xfId="0" applyNumberFormat="1" applyFont="1" applyFill="1" applyBorder="1" applyAlignment="1">
      <alignment horizontal="centerContinuous"/>
    </xf>
    <xf numFmtId="0" fontId="4" fillId="3" borderId="1" xfId="0" quotePrefix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4" fillId="3" borderId="1" xfId="1" quotePrefix="1" applyNumberFormat="1" applyFont="1" applyFill="1" applyBorder="1" applyAlignment="1" applyProtection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1" fontId="4" fillId="3" borderId="8" xfId="0" applyNumberFormat="1" applyFont="1" applyFill="1" applyBorder="1" applyAlignment="1">
      <alignment horizontal="centerContinuous"/>
    </xf>
    <xf numFmtId="0" fontId="4" fillId="3" borderId="19" xfId="0" applyFont="1" applyFill="1" applyBorder="1" applyAlignment="1">
      <alignment horizontal="center"/>
    </xf>
    <xf numFmtId="3" fontId="2" fillId="0" borderId="15" xfId="0" applyNumberFormat="1" applyFont="1" applyBorder="1" applyAlignment="1" applyProtection="1">
      <alignment horizontal="center"/>
      <protection locked="0"/>
    </xf>
    <xf numFmtId="3" fontId="2" fillId="0" borderId="15" xfId="0" applyNumberFormat="1" applyFont="1" applyBorder="1" applyAlignment="1">
      <alignment horizontal="center"/>
    </xf>
    <xf numFmtId="3" fontId="4" fillId="3" borderId="19" xfId="0" applyNumberFormat="1" applyFont="1" applyFill="1" applyBorder="1" applyAlignment="1">
      <alignment horizontal="center"/>
    </xf>
    <xf numFmtId="164" fontId="4" fillId="3" borderId="19" xfId="1" quotePrefix="1" applyNumberFormat="1" applyFont="1" applyFill="1" applyBorder="1" applyAlignment="1" applyProtection="1">
      <alignment horizontal="center"/>
    </xf>
    <xf numFmtId="3" fontId="2" fillId="0" borderId="20" xfId="0" applyNumberFormat="1" applyFont="1" applyBorder="1" applyAlignment="1" applyProtection="1">
      <alignment horizontal="center"/>
      <protection locked="0"/>
    </xf>
    <xf numFmtId="3" fontId="2" fillId="0" borderId="20" xfId="0" applyNumberFormat="1" applyFont="1" applyBorder="1" applyAlignment="1">
      <alignment horizontal="center"/>
    </xf>
    <xf numFmtId="3" fontId="4" fillId="2" borderId="21" xfId="0" applyNumberFormat="1" applyFont="1" applyFill="1" applyBorder="1" applyAlignment="1">
      <alignment horizontal="center"/>
    </xf>
    <xf numFmtId="165" fontId="4" fillId="2" borderId="22" xfId="1" applyNumberFormat="1" applyFont="1" applyFill="1" applyBorder="1" applyAlignment="1" applyProtection="1">
      <alignment horizontal="center"/>
    </xf>
    <xf numFmtId="3" fontId="4" fillId="2" borderId="23" xfId="0" applyNumberFormat="1" applyFont="1" applyFill="1" applyBorder="1" applyAlignment="1">
      <alignment horizontal="center"/>
    </xf>
    <xf numFmtId="165" fontId="4" fillId="2" borderId="24" xfId="1" applyNumberFormat="1" applyFont="1" applyFill="1" applyBorder="1" applyAlignment="1" applyProtection="1">
      <alignment horizontal="center"/>
    </xf>
    <xf numFmtId="3" fontId="4" fillId="2" borderId="23" xfId="1" applyNumberFormat="1" applyFont="1" applyFill="1" applyBorder="1" applyAlignment="1" applyProtection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20" xfId="0" applyNumberFormat="1" applyFont="1" applyBorder="1" applyAlignment="1">
      <alignment horizontal="center"/>
    </xf>
    <xf numFmtId="3" fontId="7" fillId="2" borderId="25" xfId="0" applyNumberFormat="1" applyFont="1" applyFill="1" applyBorder="1" applyAlignment="1">
      <alignment horizontal="center"/>
    </xf>
    <xf numFmtId="165" fontId="7" fillId="2" borderId="26" xfId="1" applyNumberFormat="1" applyFont="1" applyFill="1" applyBorder="1" applyAlignment="1" applyProtection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8" xfId="0" quotePrefix="1" applyFont="1" applyFill="1" applyBorder="1" applyAlignment="1">
      <alignment horizontal="center"/>
    </xf>
    <xf numFmtId="0" fontId="4" fillId="3" borderId="2" xfId="0" quotePrefix="1" applyFont="1" applyFill="1" applyBorder="1" applyAlignment="1">
      <alignment horizontal="center"/>
    </xf>
    <xf numFmtId="0" fontId="3" fillId="4" borderId="13" xfId="0" applyFont="1" applyFill="1" applyBorder="1" applyAlignment="1" applyProtection="1">
      <alignment horizontal="center"/>
      <protection locked="0"/>
    </xf>
    <xf numFmtId="0" fontId="3" fillId="4" borderId="9" xfId="0" applyFont="1" applyFill="1" applyBorder="1" applyAlignment="1" applyProtection="1">
      <alignment horizontal="center"/>
      <protection locked="0"/>
    </xf>
    <xf numFmtId="0" fontId="1" fillId="4" borderId="14" xfId="0" applyFont="1" applyFill="1" applyBorder="1" applyAlignment="1" applyProtection="1">
      <alignment horizontal="center"/>
      <protection locked="0"/>
    </xf>
    <xf numFmtId="0" fontId="3" fillId="4" borderId="14" xfId="0" applyFont="1" applyFill="1" applyBorder="1" applyAlignment="1" applyProtection="1">
      <alignment horizontal="center"/>
      <protection locked="0"/>
    </xf>
    <xf numFmtId="0" fontId="3" fillId="4" borderId="11" xfId="0" applyFont="1" applyFill="1" applyBorder="1" applyAlignment="1" applyProtection="1">
      <alignment horizontal="center"/>
      <protection locked="0"/>
    </xf>
    <xf numFmtId="0" fontId="3" fillId="4" borderId="13" xfId="0" quotePrefix="1" applyFont="1" applyFill="1" applyBorder="1" applyAlignment="1" applyProtection="1">
      <alignment horizontal="center"/>
      <protection locked="0"/>
    </xf>
    <xf numFmtId="0" fontId="4" fillId="3" borderId="27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1" fontId="8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3" fontId="9" fillId="0" borderId="0" xfId="0" applyNumberFormat="1" applyFont="1"/>
    <xf numFmtId="164" fontId="9" fillId="0" borderId="0" xfId="1" applyNumberFormat="1" applyFont="1" applyBorder="1" applyAlignment="1" applyProtection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1" applyNumberFormat="1" applyFont="1" applyBorder="1" applyAlignment="1" applyProtection="1">
      <alignment horizontal="center"/>
    </xf>
    <xf numFmtId="165" fontId="4" fillId="2" borderId="7" xfId="1" applyNumberFormat="1" applyFont="1" applyFill="1" applyBorder="1" applyAlignment="1" applyProtection="1">
      <alignment horizontal="center"/>
    </xf>
    <xf numFmtId="0" fontId="4" fillId="3" borderId="6" xfId="0" quotePrefix="1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3" fontId="4" fillId="2" borderId="7" xfId="0" applyNumberFormat="1" applyFont="1" applyFill="1" applyBorder="1" applyAlignment="1">
      <alignment horizontal="center"/>
    </xf>
    <xf numFmtId="165" fontId="4" fillId="2" borderId="3" xfId="1" applyNumberFormat="1" applyFont="1" applyFill="1" applyBorder="1" applyAlignment="1" applyProtection="1">
      <alignment horizontal="center"/>
    </xf>
    <xf numFmtId="165" fontId="5" fillId="3" borderId="1" xfId="1" applyNumberFormat="1" applyFont="1" applyFill="1" applyBorder="1" applyAlignment="1" applyProtection="1">
      <alignment horizontal="center"/>
    </xf>
    <xf numFmtId="1" fontId="5" fillId="3" borderId="1" xfId="1" applyNumberFormat="1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A5CE4D"/>
      <color rgb="FF5B67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738187</xdr:colOff>
      <xdr:row>0</xdr:row>
      <xdr:rowOff>47626</xdr:rowOff>
    </xdr:from>
    <xdr:to>
      <xdr:col>8</xdr:col>
      <xdr:colOff>484186</xdr:colOff>
      <xdr:row>2</xdr:row>
      <xdr:rowOff>23813</xdr:rowOff>
    </xdr:to>
    <xdr:pic>
      <xdr:nvPicPr>
        <xdr:cNvPr id="5" name="Ives-RGB_Horizontal" descr="Ives-RGB_Horizontal">
          <a:extLst>
            <a:ext uri="{FF2B5EF4-FFF2-40B4-BE49-F238E27FC236}">
              <a16:creationId xmlns:a16="http://schemas.microsoft.com/office/drawing/2014/main" id="{71F0A5E4-88A2-246A-6635-D2F69521CF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937" y="47626"/>
          <a:ext cx="3143249" cy="6905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M110"/>
  <sheetViews>
    <sheetView showGridLines="0" tabSelected="1" zoomScale="120" zoomScaleNormal="120" workbookViewId="0">
      <selection activeCell="F45" sqref="F45"/>
    </sheetView>
  </sheetViews>
  <sheetFormatPr defaultRowHeight="12.75" x14ac:dyDescent="0.2"/>
  <cols>
    <col min="1" max="1" width="1.85546875" customWidth="1"/>
    <col min="2" max="2" width="7.7109375" customWidth="1"/>
    <col min="3" max="3" width="6.7109375" customWidth="1"/>
    <col min="4" max="9" width="12.7109375" customWidth="1"/>
    <col min="10" max="10" width="9.7109375" customWidth="1"/>
    <col min="12" max="12" width="12.7109375" customWidth="1"/>
    <col min="13" max="13" width="9.7109375" customWidth="1"/>
  </cols>
  <sheetData>
    <row r="2" spans="2:13" ht="43.5" customHeight="1" x14ac:dyDescent="0.2"/>
    <row r="3" spans="2:13" ht="13.5" thickBot="1" x14ac:dyDescent="0.25"/>
    <row r="4" spans="2:13" ht="13.5" thickBot="1" x14ac:dyDescent="0.25">
      <c r="B4" s="10" t="s">
        <v>0</v>
      </c>
      <c r="C4" s="11" t="s">
        <v>54</v>
      </c>
      <c r="D4" s="17" t="s">
        <v>73</v>
      </c>
      <c r="E4" s="17" t="s">
        <v>74</v>
      </c>
      <c r="F4" s="17" t="s">
        <v>75</v>
      </c>
      <c r="G4" s="17" t="s">
        <v>76</v>
      </c>
      <c r="H4" s="17" t="s">
        <v>1</v>
      </c>
      <c r="I4" s="20" t="s">
        <v>2</v>
      </c>
      <c r="J4" s="21" t="s">
        <v>62</v>
      </c>
      <c r="K4" s="58" t="s">
        <v>54</v>
      </c>
      <c r="L4" s="11" t="s">
        <v>3</v>
      </c>
      <c r="M4" s="12" t="s">
        <v>62</v>
      </c>
    </row>
    <row r="5" spans="2:13" x14ac:dyDescent="0.2">
      <c r="B5" s="3" t="s">
        <v>5</v>
      </c>
      <c r="C5" s="13">
        <v>1</v>
      </c>
      <c r="D5" s="18"/>
      <c r="E5" s="18"/>
      <c r="F5" s="18"/>
      <c r="G5" s="18"/>
      <c r="H5" s="22"/>
      <c r="I5" s="24" t="str">
        <f t="shared" ref="I5:I36" si="0">IF(SUM(D5:H5)=0,"",SUM(D5:H5))</f>
        <v/>
      </c>
      <c r="J5" s="25" t="str">
        <f>IF(I5="","",(I5/I$70))</f>
        <v/>
      </c>
      <c r="K5" s="59">
        <v>1</v>
      </c>
      <c r="L5" s="60">
        <f>DSUM(C$4:I$67,"TOTAL",B72:J73)</f>
        <v>0</v>
      </c>
      <c r="M5" s="62">
        <f>IF(L$12=0,0,L5/L$12)</f>
        <v>0</v>
      </c>
    </row>
    <row r="6" spans="2:13" x14ac:dyDescent="0.2">
      <c r="B6" s="3" t="s">
        <v>4</v>
      </c>
      <c r="C6" s="13">
        <v>3</v>
      </c>
      <c r="D6" s="18"/>
      <c r="E6" s="18"/>
      <c r="F6" s="18"/>
      <c r="G6" s="18"/>
      <c r="H6" s="22"/>
      <c r="I6" s="26" t="str">
        <f t="shared" si="0"/>
        <v/>
      </c>
      <c r="J6" s="27" t="str">
        <f>IF(I6="","",(I6/I$70))</f>
        <v/>
      </c>
      <c r="K6" s="59">
        <v>2</v>
      </c>
      <c r="L6" s="60">
        <f>DSUM(C$4:I$67,"TOTAL",B74:J75)</f>
        <v>0</v>
      </c>
      <c r="M6" s="62">
        <f>IF(L$12=0,0,L6/L$12)</f>
        <v>0</v>
      </c>
    </row>
    <row r="7" spans="2:13" x14ac:dyDescent="0.2">
      <c r="B7" s="3" t="s">
        <v>7</v>
      </c>
      <c r="C7" s="13">
        <v>2</v>
      </c>
      <c r="D7" s="18"/>
      <c r="E7" s="18"/>
      <c r="F7" s="18"/>
      <c r="G7" s="18"/>
      <c r="H7" s="22"/>
      <c r="I7" s="26" t="str">
        <f t="shared" si="0"/>
        <v/>
      </c>
      <c r="J7" s="27" t="str">
        <f>IF(I7="","",(I7/I$70))</f>
        <v/>
      </c>
      <c r="K7" s="59">
        <v>3</v>
      </c>
      <c r="L7" s="61">
        <f>DSUM(C$4:I$67,"TOTAL",B76:J77)</f>
        <v>0</v>
      </c>
      <c r="M7" s="62">
        <f>IF(L$12=0,0,L7/L$12)</f>
        <v>0</v>
      </c>
    </row>
    <row r="8" spans="2:13" ht="13.5" thickBot="1" x14ac:dyDescent="0.25">
      <c r="B8" s="3" t="s">
        <v>6</v>
      </c>
      <c r="C8" s="13">
        <v>2</v>
      </c>
      <c r="D8" s="18"/>
      <c r="E8" s="18"/>
      <c r="F8" s="18"/>
      <c r="G8" s="18"/>
      <c r="H8" s="22"/>
      <c r="I8" s="26" t="str">
        <f t="shared" si="0"/>
        <v/>
      </c>
      <c r="J8" s="27" t="str">
        <f>IF(I8="","",(I8/I$70))</f>
        <v/>
      </c>
      <c r="K8" s="33" t="s">
        <v>56</v>
      </c>
      <c r="L8" s="61">
        <f>DSUM(C$4:I$67,"TOTAL",B78:J79)</f>
        <v>0</v>
      </c>
      <c r="M8" s="57">
        <f>IF(L$12=0,0,L8/L$12)</f>
        <v>0</v>
      </c>
    </row>
    <row r="9" spans="2:13" ht="13.5" thickBot="1" x14ac:dyDescent="0.25">
      <c r="B9" s="3" t="s">
        <v>8</v>
      </c>
      <c r="C9" s="13">
        <v>2</v>
      </c>
      <c r="D9" s="18"/>
      <c r="E9" s="18"/>
      <c r="F9" s="18"/>
      <c r="G9" s="18"/>
      <c r="H9" s="22"/>
      <c r="I9" s="26" t="str">
        <f t="shared" si="0"/>
        <v/>
      </c>
      <c r="J9" s="27" t="str">
        <f>IF(I9="","",(I9/I$70))</f>
        <v/>
      </c>
      <c r="K9" s="33" t="s">
        <v>77</v>
      </c>
      <c r="L9" s="61">
        <f>DSUM(C$4:I$67,"TOTAL",B80:J81)</f>
        <v>0</v>
      </c>
      <c r="M9" s="57">
        <f>IF(L$12=0,0,L9/L$12)</f>
        <v>0</v>
      </c>
    </row>
    <row r="10" spans="2:13" ht="13.5" thickBot="1" x14ac:dyDescent="0.25">
      <c r="B10" s="3" t="s">
        <v>9</v>
      </c>
      <c r="C10" s="13">
        <v>1</v>
      </c>
      <c r="D10" s="18"/>
      <c r="E10" s="18"/>
      <c r="F10" s="18"/>
      <c r="G10" s="18"/>
      <c r="H10" s="22"/>
      <c r="I10" s="26" t="str">
        <f t="shared" si="0"/>
        <v/>
      </c>
      <c r="J10" s="27" t="str">
        <f>IF(I10="","",(I10/I$70))</f>
        <v/>
      </c>
      <c r="K10" s="33" t="s">
        <v>78</v>
      </c>
      <c r="L10" s="61">
        <f>DSUM(C$4:I$67,"TOTAL",B82:J83)</f>
        <v>0</v>
      </c>
      <c r="M10" s="57">
        <f>IF(L$12=0,0,L10/L$12)</f>
        <v>0</v>
      </c>
    </row>
    <row r="11" spans="2:13" ht="13.5" thickBot="1" x14ac:dyDescent="0.25">
      <c r="B11" s="3" t="s">
        <v>10</v>
      </c>
      <c r="C11" s="13">
        <v>3</v>
      </c>
      <c r="D11" s="18"/>
      <c r="E11" s="18"/>
      <c r="F11" s="18"/>
      <c r="G11" s="18"/>
      <c r="H11" s="22"/>
      <c r="I11" s="26" t="str">
        <f t="shared" si="0"/>
        <v/>
      </c>
      <c r="J11" s="27" t="str">
        <f>IF(I11="","",(I11/I$70))</f>
        <v/>
      </c>
      <c r="K11" s="33" t="s">
        <v>79</v>
      </c>
      <c r="L11" s="61">
        <f>DSUM(C$4:I$67,"TOTAL",B84:J85)</f>
        <v>0</v>
      </c>
      <c r="M11" s="57">
        <f>IF(L$12=0,0,L11/L$12)</f>
        <v>0</v>
      </c>
    </row>
    <row r="12" spans="2:13" ht="13.5" thickBot="1" x14ac:dyDescent="0.25">
      <c r="B12" s="3" t="s">
        <v>12</v>
      </c>
      <c r="C12" s="13"/>
      <c r="D12" s="18"/>
      <c r="E12" s="18"/>
      <c r="F12" s="18"/>
      <c r="G12" s="18"/>
      <c r="H12" s="22"/>
      <c r="I12" s="26" t="str">
        <f t="shared" si="0"/>
        <v/>
      </c>
      <c r="J12" s="27" t="str">
        <f>IF(I12="","",(I12/I$70))</f>
        <v/>
      </c>
      <c r="L12" s="64">
        <f>SUM(L5:L11)</f>
        <v>0</v>
      </c>
      <c r="M12" s="63">
        <f>IF(L$12=0,0,L12/L$12)</f>
        <v>0</v>
      </c>
    </row>
    <row r="13" spans="2:13" x14ac:dyDescent="0.2">
      <c r="B13" s="3" t="s">
        <v>11</v>
      </c>
      <c r="C13" s="13">
        <v>3</v>
      </c>
      <c r="D13" s="18"/>
      <c r="E13" s="18"/>
      <c r="F13" s="18"/>
      <c r="G13" s="18"/>
      <c r="H13" s="22"/>
      <c r="I13" s="26" t="str">
        <f t="shared" si="0"/>
        <v/>
      </c>
      <c r="J13" s="27" t="str">
        <f>IF(I13="","",(I13/I$70))</f>
        <v/>
      </c>
      <c r="K13" s="2"/>
    </row>
    <row r="14" spans="2:13" ht="13.5" thickBot="1" x14ac:dyDescent="0.25">
      <c r="B14" s="3" t="s">
        <v>13</v>
      </c>
      <c r="C14" s="13">
        <v>3</v>
      </c>
      <c r="D14" s="18"/>
      <c r="E14" s="18"/>
      <c r="F14" s="18"/>
      <c r="G14" s="18"/>
      <c r="H14" s="22"/>
      <c r="I14" s="26" t="str">
        <f t="shared" si="0"/>
        <v/>
      </c>
      <c r="J14" s="27" t="str">
        <f>IF(I14="","",(I14/I$70))</f>
        <v/>
      </c>
      <c r="K14" s="2"/>
    </row>
    <row r="15" spans="2:13" ht="13.5" thickBot="1" x14ac:dyDescent="0.25">
      <c r="B15" s="3" t="s">
        <v>14</v>
      </c>
      <c r="C15" s="13">
        <v>2</v>
      </c>
      <c r="D15" s="18"/>
      <c r="E15" s="18"/>
      <c r="F15" s="18"/>
      <c r="G15" s="18"/>
      <c r="H15" s="22"/>
      <c r="I15" s="26" t="str">
        <f t="shared" si="0"/>
        <v/>
      </c>
      <c r="J15" s="27" t="str">
        <f>IF(I15="","",(I15/I$70))</f>
        <v/>
      </c>
      <c r="K15" s="38" t="s">
        <v>70</v>
      </c>
      <c r="L15" s="38"/>
      <c r="M15" s="39"/>
    </row>
    <row r="16" spans="2:13" x14ac:dyDescent="0.2">
      <c r="B16" s="3" t="s">
        <v>18</v>
      </c>
      <c r="C16" s="13">
        <v>1</v>
      </c>
      <c r="D16" s="18"/>
      <c r="E16" s="18"/>
      <c r="F16" s="18"/>
      <c r="G16" s="18"/>
      <c r="H16" s="22"/>
      <c r="I16" s="26" t="str">
        <f t="shared" si="0"/>
        <v/>
      </c>
      <c r="J16" s="27" t="str">
        <f>IF(I16="","",(I16/I$70))</f>
        <v/>
      </c>
      <c r="K16" s="42"/>
      <c r="L16" s="43"/>
      <c r="M16" s="44"/>
    </row>
    <row r="17" spans="2:13" ht="13.5" thickBot="1" x14ac:dyDescent="0.25">
      <c r="B17" s="3" t="s">
        <v>15</v>
      </c>
      <c r="C17" s="13">
        <v>1</v>
      </c>
      <c r="D17" s="18"/>
      <c r="E17" s="18"/>
      <c r="F17" s="18"/>
      <c r="G17" s="18"/>
      <c r="H17" s="22"/>
      <c r="I17" s="26" t="str">
        <f t="shared" si="0"/>
        <v/>
      </c>
      <c r="J17" s="27" t="str">
        <f>IF(I17="","",(I17/I$70))</f>
        <v/>
      </c>
      <c r="K17" s="40" t="s">
        <v>72</v>
      </c>
      <c r="L17" s="40"/>
      <c r="M17" s="41"/>
    </row>
    <row r="18" spans="2:13" ht="13.5" thickBot="1" x14ac:dyDescent="0.25">
      <c r="B18" s="3" t="s">
        <v>16</v>
      </c>
      <c r="C18" s="13">
        <v>2</v>
      </c>
      <c r="D18" s="18"/>
      <c r="E18" s="18"/>
      <c r="F18" s="18"/>
      <c r="G18" s="18"/>
      <c r="H18" s="22"/>
      <c r="I18" s="26" t="str">
        <f t="shared" si="0"/>
        <v/>
      </c>
      <c r="J18" s="27" t="str">
        <f>IF(I18="","",(I18/I$70))</f>
        <v/>
      </c>
      <c r="K18" s="2"/>
    </row>
    <row r="19" spans="2:13" ht="13.5" thickBot="1" x14ac:dyDescent="0.25">
      <c r="B19" s="3" t="s">
        <v>17</v>
      </c>
      <c r="C19" s="13">
        <v>2</v>
      </c>
      <c r="D19" s="18"/>
      <c r="E19" s="18"/>
      <c r="F19" s="18"/>
      <c r="G19" s="18"/>
      <c r="H19" s="22"/>
      <c r="I19" s="26" t="str">
        <f t="shared" si="0"/>
        <v/>
      </c>
      <c r="J19" s="27" t="str">
        <f>IF(I19="","",(I19/I$70))</f>
        <v/>
      </c>
      <c r="K19" s="38" t="s">
        <v>71</v>
      </c>
      <c r="L19" s="38"/>
      <c r="M19" s="39"/>
    </row>
    <row r="20" spans="2:13" x14ac:dyDescent="0.2">
      <c r="B20" s="3" t="s">
        <v>19</v>
      </c>
      <c r="C20" s="13">
        <v>1</v>
      </c>
      <c r="D20" s="18"/>
      <c r="E20" s="18"/>
      <c r="F20" s="18"/>
      <c r="G20" s="18"/>
      <c r="H20" s="22"/>
      <c r="I20" s="26" t="str">
        <f t="shared" si="0"/>
        <v/>
      </c>
      <c r="J20" s="27" t="str">
        <f>IF(I20="","",(I20/I$70))</f>
        <v/>
      </c>
      <c r="K20" s="43"/>
      <c r="L20" s="43"/>
      <c r="M20" s="44"/>
    </row>
    <row r="21" spans="2:13" ht="13.5" thickBot="1" x14ac:dyDescent="0.25">
      <c r="B21" s="3" t="s">
        <v>20</v>
      </c>
      <c r="C21" s="13">
        <v>2</v>
      </c>
      <c r="D21" s="18"/>
      <c r="E21" s="18"/>
      <c r="F21" s="18"/>
      <c r="G21" s="18"/>
      <c r="H21" s="22"/>
      <c r="I21" s="26" t="str">
        <f t="shared" si="0"/>
        <v/>
      </c>
      <c r="J21" s="27" t="str">
        <f>IF(I21="","",(I21/I$70))</f>
        <v/>
      </c>
      <c r="K21" s="45"/>
      <c r="L21" s="40"/>
      <c r="M21" s="41"/>
    </row>
    <row r="22" spans="2:13" x14ac:dyDescent="0.2">
      <c r="B22" s="3" t="s">
        <v>21</v>
      </c>
      <c r="C22" s="13">
        <v>3</v>
      </c>
      <c r="D22" s="18"/>
      <c r="E22" s="18"/>
      <c r="F22" s="18"/>
      <c r="G22" s="18"/>
      <c r="H22" s="22"/>
      <c r="I22" s="26" t="str">
        <f t="shared" si="0"/>
        <v/>
      </c>
      <c r="J22" s="27" t="str">
        <f>IF(I22="","",(I22/I$70))</f>
        <v/>
      </c>
      <c r="K22" s="2"/>
    </row>
    <row r="23" spans="2:13" x14ac:dyDescent="0.2">
      <c r="B23" s="3" t="s">
        <v>24</v>
      </c>
      <c r="C23" s="13">
        <v>3</v>
      </c>
      <c r="D23" s="18"/>
      <c r="E23" s="18"/>
      <c r="F23" s="18"/>
      <c r="G23" s="18"/>
      <c r="H23" s="22"/>
      <c r="I23" s="26" t="str">
        <f t="shared" si="0"/>
        <v/>
      </c>
      <c r="J23" s="27" t="str">
        <f>IF(I23="","",(I23/I$70))</f>
        <v/>
      </c>
      <c r="K23" s="2"/>
    </row>
    <row r="24" spans="2:13" x14ac:dyDescent="0.2">
      <c r="B24" s="3" t="s">
        <v>23</v>
      </c>
      <c r="C24" s="13">
        <v>3</v>
      </c>
      <c r="D24" s="18"/>
      <c r="E24" s="18"/>
      <c r="F24" s="18"/>
      <c r="G24" s="18"/>
      <c r="H24" s="22"/>
      <c r="I24" s="26" t="str">
        <f t="shared" si="0"/>
        <v/>
      </c>
      <c r="J24" s="27" t="str">
        <f>IF(I24="","",(I24/I$70))</f>
        <v/>
      </c>
      <c r="K24" s="2"/>
    </row>
    <row r="25" spans="2:13" x14ac:dyDescent="0.2">
      <c r="B25" s="3" t="s">
        <v>22</v>
      </c>
      <c r="C25" s="13">
        <v>3</v>
      </c>
      <c r="D25" s="18"/>
      <c r="E25" s="18"/>
      <c r="F25" s="18"/>
      <c r="G25" s="18"/>
      <c r="H25" s="22"/>
      <c r="I25" s="26" t="str">
        <f t="shared" si="0"/>
        <v/>
      </c>
      <c r="J25" s="27" t="str">
        <f>IF(I25="","",(I25/I$70))</f>
        <v/>
      </c>
      <c r="K25" s="2"/>
    </row>
    <row r="26" spans="2:13" x14ac:dyDescent="0.2">
      <c r="B26" s="3" t="s">
        <v>25</v>
      </c>
      <c r="C26" s="13">
        <v>2</v>
      </c>
      <c r="D26" s="18"/>
      <c r="E26" s="18"/>
      <c r="F26" s="18"/>
      <c r="G26" s="18"/>
      <c r="H26" s="22"/>
      <c r="I26" s="26" t="str">
        <f t="shared" si="0"/>
        <v/>
      </c>
      <c r="J26" s="27" t="str">
        <f>IF(I26="","",(I26/I$70))</f>
        <v/>
      </c>
      <c r="K26" s="2"/>
    </row>
    <row r="27" spans="2:13" x14ac:dyDescent="0.2">
      <c r="B27" s="3" t="s">
        <v>26</v>
      </c>
      <c r="C27" s="13">
        <v>2</v>
      </c>
      <c r="D27" s="18"/>
      <c r="E27" s="18"/>
      <c r="F27" s="18"/>
      <c r="G27" s="18"/>
      <c r="H27" s="22"/>
      <c r="I27" s="26" t="str">
        <f t="shared" si="0"/>
        <v/>
      </c>
      <c r="J27" s="27" t="str">
        <f>IF(I27="","",(I27/I$70))</f>
        <v/>
      </c>
      <c r="K27" s="2"/>
    </row>
    <row r="28" spans="2:13" x14ac:dyDescent="0.2">
      <c r="B28" s="3" t="s">
        <v>28</v>
      </c>
      <c r="C28" s="13">
        <v>2</v>
      </c>
      <c r="D28" s="18"/>
      <c r="E28" s="18"/>
      <c r="F28" s="18"/>
      <c r="G28" s="18"/>
      <c r="H28" s="22"/>
      <c r="I28" s="26" t="str">
        <f t="shared" si="0"/>
        <v/>
      </c>
      <c r="J28" s="27" t="str">
        <f>IF(I28="","",(I28/I$70))</f>
        <v/>
      </c>
      <c r="K28" s="2"/>
    </row>
    <row r="29" spans="2:13" x14ac:dyDescent="0.2">
      <c r="B29" s="3" t="s">
        <v>27</v>
      </c>
      <c r="C29" s="13">
        <v>3</v>
      </c>
      <c r="D29" s="18"/>
      <c r="E29" s="18"/>
      <c r="F29" s="18"/>
      <c r="G29" s="18"/>
      <c r="H29" s="22"/>
      <c r="I29" s="26" t="str">
        <f t="shared" si="0"/>
        <v/>
      </c>
      <c r="J29" s="27" t="str">
        <f>IF(I29="","",(I29/I$70))</f>
        <v/>
      </c>
      <c r="K29" s="2"/>
    </row>
    <row r="30" spans="2:13" x14ac:dyDescent="0.2">
      <c r="B30" s="3" t="s">
        <v>29</v>
      </c>
      <c r="C30" s="13">
        <v>2</v>
      </c>
      <c r="D30" s="18"/>
      <c r="E30" s="18"/>
      <c r="F30" s="18"/>
      <c r="G30" s="18"/>
      <c r="H30" s="22"/>
      <c r="I30" s="26" t="str">
        <f t="shared" si="0"/>
        <v/>
      </c>
      <c r="J30" s="27" t="str">
        <f>IF(I30="","",(I30/I$70))</f>
        <v/>
      </c>
      <c r="K30" s="2"/>
    </row>
    <row r="31" spans="2:13" x14ac:dyDescent="0.2">
      <c r="B31" s="3" t="s">
        <v>36</v>
      </c>
      <c r="C31" s="13">
        <v>2</v>
      </c>
      <c r="D31" s="18"/>
      <c r="E31" s="18"/>
      <c r="F31" s="18"/>
      <c r="G31" s="18"/>
      <c r="H31" s="22"/>
      <c r="I31" s="26" t="str">
        <f t="shared" si="0"/>
        <v/>
      </c>
      <c r="J31" s="27" t="str">
        <f>IF(I31="","",(I31/I$70))</f>
        <v/>
      </c>
      <c r="K31" s="2"/>
    </row>
    <row r="32" spans="2:13" x14ac:dyDescent="0.2">
      <c r="B32" s="3" t="s">
        <v>37</v>
      </c>
      <c r="C32" s="13">
        <v>1</v>
      </c>
      <c r="D32" s="18"/>
      <c r="E32" s="18"/>
      <c r="F32" s="18"/>
      <c r="G32" s="18"/>
      <c r="H32" s="22"/>
      <c r="I32" s="26" t="str">
        <f t="shared" si="0"/>
        <v/>
      </c>
      <c r="J32" s="27" t="str">
        <f>IF(I32="","",(I32/I$70))</f>
        <v/>
      </c>
      <c r="K32" s="2"/>
    </row>
    <row r="33" spans="2:11" x14ac:dyDescent="0.2">
      <c r="B33" s="3" t="s">
        <v>30</v>
      </c>
      <c r="C33" s="13">
        <v>1</v>
      </c>
      <c r="D33" s="18"/>
      <c r="E33" s="18"/>
      <c r="F33" s="18"/>
      <c r="G33" s="18"/>
      <c r="H33" s="22"/>
      <c r="I33" s="26" t="str">
        <f t="shared" si="0"/>
        <v/>
      </c>
      <c r="J33" s="27" t="str">
        <f>IF(I33="","",(I33/I$70))</f>
        <v/>
      </c>
      <c r="K33" s="2"/>
    </row>
    <row r="34" spans="2:11" x14ac:dyDescent="0.2">
      <c r="B34" s="3" t="s">
        <v>32</v>
      </c>
      <c r="C34" s="13">
        <v>3</v>
      </c>
      <c r="D34" s="18"/>
      <c r="E34" s="18"/>
      <c r="F34" s="18"/>
      <c r="G34" s="18"/>
      <c r="H34" s="22"/>
      <c r="I34" s="26" t="str">
        <f t="shared" si="0"/>
        <v/>
      </c>
      <c r="J34" s="27" t="str">
        <f>IF(I34="","",(I34/I$70))</f>
        <v/>
      </c>
      <c r="K34" s="2"/>
    </row>
    <row r="35" spans="2:11" x14ac:dyDescent="0.2">
      <c r="B35" s="3" t="s">
        <v>33</v>
      </c>
      <c r="C35" s="13">
        <v>3</v>
      </c>
      <c r="D35" s="18"/>
      <c r="E35" s="18"/>
      <c r="F35" s="18"/>
      <c r="G35" s="18"/>
      <c r="H35" s="22"/>
      <c r="I35" s="26" t="str">
        <f t="shared" si="0"/>
        <v/>
      </c>
      <c r="J35" s="27" t="str">
        <f>IF(I35="","",(I35/I$70))</f>
        <v/>
      </c>
      <c r="K35" s="2"/>
    </row>
    <row r="36" spans="2:11" x14ac:dyDescent="0.2">
      <c r="B36" s="3" t="s">
        <v>34</v>
      </c>
      <c r="C36" s="13">
        <v>2</v>
      </c>
      <c r="D36" s="18"/>
      <c r="E36" s="18"/>
      <c r="F36" s="18"/>
      <c r="G36" s="18"/>
      <c r="H36" s="22"/>
      <c r="I36" s="26" t="str">
        <f t="shared" si="0"/>
        <v/>
      </c>
      <c r="J36" s="27" t="str">
        <f>IF(I36="","",(I36/I$70))</f>
        <v/>
      </c>
      <c r="K36" s="2"/>
    </row>
    <row r="37" spans="2:11" x14ac:dyDescent="0.2">
      <c r="B37" s="3" t="s">
        <v>31</v>
      </c>
      <c r="C37" s="13">
        <v>1</v>
      </c>
      <c r="D37" s="18"/>
      <c r="E37" s="18"/>
      <c r="F37" s="18"/>
      <c r="G37" s="18"/>
      <c r="H37" s="22"/>
      <c r="I37" s="26" t="str">
        <f t="shared" ref="I37:I56" si="1">IF(SUM(D37:H37)=0,"",SUM(D37:H37))</f>
        <v/>
      </c>
      <c r="J37" s="27" t="str">
        <f>IF(I37="","",(I37/I$70))</f>
        <v/>
      </c>
      <c r="K37" s="2"/>
    </row>
    <row r="38" spans="2:11" x14ac:dyDescent="0.2">
      <c r="B38" s="3" t="s">
        <v>35</v>
      </c>
      <c r="C38" s="13">
        <v>3</v>
      </c>
      <c r="D38" s="18"/>
      <c r="E38" s="18"/>
      <c r="F38" s="18"/>
      <c r="G38" s="18"/>
      <c r="H38" s="22"/>
      <c r="I38" s="26" t="str">
        <f t="shared" si="1"/>
        <v/>
      </c>
      <c r="J38" s="27" t="str">
        <f>IF(I38="","",(I38/I$70))</f>
        <v/>
      </c>
      <c r="K38" s="2"/>
    </row>
    <row r="39" spans="2:11" x14ac:dyDescent="0.2">
      <c r="B39" s="3" t="s">
        <v>38</v>
      </c>
      <c r="C39" s="13">
        <v>2</v>
      </c>
      <c r="D39" s="18"/>
      <c r="E39" s="18"/>
      <c r="F39" s="18"/>
      <c r="G39" s="18"/>
      <c r="H39" s="22"/>
      <c r="I39" s="26" t="str">
        <f t="shared" si="1"/>
        <v/>
      </c>
      <c r="J39" s="27" t="str">
        <f>IF(I39="","",(I39/I$70))</f>
        <v/>
      </c>
      <c r="K39" s="2"/>
    </row>
    <row r="40" spans="2:11" x14ac:dyDescent="0.2">
      <c r="B40" s="3" t="s">
        <v>39</v>
      </c>
      <c r="C40" s="13">
        <v>2</v>
      </c>
      <c r="D40" s="18"/>
      <c r="E40" s="18"/>
      <c r="F40" s="18"/>
      <c r="G40" s="18"/>
      <c r="H40" s="22"/>
      <c r="I40" s="26" t="str">
        <f t="shared" si="1"/>
        <v/>
      </c>
      <c r="J40" s="27" t="str">
        <f>IF(I40="","",(I40/I$70))</f>
        <v/>
      </c>
      <c r="K40" s="2"/>
    </row>
    <row r="41" spans="2:11" x14ac:dyDescent="0.2">
      <c r="B41" s="3" t="s">
        <v>40</v>
      </c>
      <c r="C41" s="13">
        <v>1</v>
      </c>
      <c r="D41" s="18"/>
      <c r="E41" s="18"/>
      <c r="F41" s="18"/>
      <c r="G41" s="18"/>
      <c r="H41" s="22"/>
      <c r="I41" s="26" t="str">
        <f t="shared" si="1"/>
        <v/>
      </c>
      <c r="J41" s="27" t="str">
        <f>IF(I41="","",(I41/I$70))</f>
        <v/>
      </c>
      <c r="K41" s="2"/>
    </row>
    <row r="42" spans="2:11" x14ac:dyDescent="0.2">
      <c r="B42" s="3" t="s">
        <v>41</v>
      </c>
      <c r="C42" s="13">
        <v>2</v>
      </c>
      <c r="D42" s="18"/>
      <c r="E42" s="18"/>
      <c r="F42" s="18"/>
      <c r="G42" s="18"/>
      <c r="H42" s="22"/>
      <c r="I42" s="26" t="str">
        <f t="shared" si="1"/>
        <v/>
      </c>
      <c r="J42" s="27" t="str">
        <f>IF(I42="","",(I42/I$70))</f>
        <v/>
      </c>
      <c r="K42" s="2"/>
    </row>
    <row r="43" spans="2:11" x14ac:dyDescent="0.2">
      <c r="B43" s="3" t="s">
        <v>42</v>
      </c>
      <c r="C43" s="13">
        <v>3</v>
      </c>
      <c r="D43" s="18"/>
      <c r="E43" s="18"/>
      <c r="F43" s="18"/>
      <c r="G43" s="18"/>
      <c r="H43" s="22"/>
      <c r="I43" s="26" t="str">
        <f t="shared" si="1"/>
        <v/>
      </c>
      <c r="J43" s="27" t="str">
        <f>IF(I43="","",(I43/I$70))</f>
        <v/>
      </c>
      <c r="K43" s="2"/>
    </row>
    <row r="44" spans="2:11" x14ac:dyDescent="0.2">
      <c r="B44" s="3" t="s">
        <v>43</v>
      </c>
      <c r="C44" s="13">
        <v>3</v>
      </c>
      <c r="D44" s="18"/>
      <c r="E44" s="18"/>
      <c r="F44" s="18"/>
      <c r="G44" s="18"/>
      <c r="H44" s="22"/>
      <c r="I44" s="26" t="str">
        <f t="shared" si="1"/>
        <v/>
      </c>
      <c r="J44" s="27" t="str">
        <f>IF(I44="","",(I44/I$70))</f>
        <v/>
      </c>
    </row>
    <row r="45" spans="2:11" x14ac:dyDescent="0.2">
      <c r="B45" s="3" t="s">
        <v>44</v>
      </c>
      <c r="C45" s="13">
        <v>2</v>
      </c>
      <c r="D45" s="18"/>
      <c r="E45" s="18"/>
      <c r="F45" s="18"/>
      <c r="G45" s="18"/>
      <c r="H45" s="22"/>
      <c r="I45" s="26" t="str">
        <f t="shared" si="1"/>
        <v/>
      </c>
      <c r="J45" s="27" t="str">
        <f>IF(I45="","",(I45/I$70))</f>
        <v/>
      </c>
    </row>
    <row r="46" spans="2:11" x14ac:dyDescent="0.2">
      <c r="B46" s="3" t="s">
        <v>45</v>
      </c>
      <c r="C46" s="13">
        <v>2</v>
      </c>
      <c r="D46" s="18"/>
      <c r="E46" s="18"/>
      <c r="F46" s="18"/>
      <c r="G46" s="18"/>
      <c r="H46" s="22"/>
      <c r="I46" s="26" t="str">
        <f t="shared" si="1"/>
        <v/>
      </c>
      <c r="J46" s="27" t="str">
        <f>IF(I46="","",(I46/I$70))</f>
        <v/>
      </c>
    </row>
    <row r="47" spans="2:11" x14ac:dyDescent="0.2">
      <c r="B47" s="3" t="s">
        <v>46</v>
      </c>
      <c r="C47" s="13">
        <v>3</v>
      </c>
      <c r="D47" s="18"/>
      <c r="E47" s="18"/>
      <c r="F47" s="18"/>
      <c r="G47" s="18"/>
      <c r="H47" s="22"/>
      <c r="I47" s="26" t="str">
        <f t="shared" si="1"/>
        <v/>
      </c>
      <c r="J47" s="27" t="str">
        <f>IF(I47="","",(I47/I$70))</f>
        <v/>
      </c>
    </row>
    <row r="48" spans="2:11" x14ac:dyDescent="0.2">
      <c r="B48" s="3" t="s">
        <v>47</v>
      </c>
      <c r="C48" s="13">
        <v>1</v>
      </c>
      <c r="D48" s="18"/>
      <c r="E48" s="18"/>
      <c r="F48" s="18"/>
      <c r="G48" s="18"/>
      <c r="H48" s="22"/>
      <c r="I48" s="26" t="str">
        <f t="shared" si="1"/>
        <v/>
      </c>
      <c r="J48" s="27" t="str">
        <f>IF(I48="","",(I48/I$70))</f>
        <v/>
      </c>
    </row>
    <row r="49" spans="2:11" x14ac:dyDescent="0.2">
      <c r="B49" s="3" t="s">
        <v>49</v>
      </c>
      <c r="C49" s="13">
        <v>2</v>
      </c>
      <c r="D49" s="18"/>
      <c r="E49" s="18"/>
      <c r="F49" s="18"/>
      <c r="G49" s="18"/>
      <c r="H49" s="22"/>
      <c r="I49" s="26" t="str">
        <f t="shared" si="1"/>
        <v/>
      </c>
      <c r="J49" s="27" t="str">
        <f>IF(I49="","",(I49/I$70))</f>
        <v/>
      </c>
      <c r="K49" s="2"/>
    </row>
    <row r="50" spans="2:11" x14ac:dyDescent="0.2">
      <c r="B50" s="3" t="s">
        <v>48</v>
      </c>
      <c r="C50" s="13">
        <v>3</v>
      </c>
      <c r="D50" s="18"/>
      <c r="E50" s="18"/>
      <c r="F50" s="18"/>
      <c r="G50" s="18"/>
      <c r="H50" s="22"/>
      <c r="I50" s="26" t="str">
        <f t="shared" si="1"/>
        <v/>
      </c>
      <c r="J50" s="27" t="str">
        <f>IF(I50="","",(I50/I$70))</f>
        <v/>
      </c>
    </row>
    <row r="51" spans="2:11" x14ac:dyDescent="0.2">
      <c r="B51" s="3" t="s">
        <v>50</v>
      </c>
      <c r="C51" s="13">
        <v>2</v>
      </c>
      <c r="D51" s="18"/>
      <c r="E51" s="18"/>
      <c r="F51" s="18"/>
      <c r="G51" s="18"/>
      <c r="H51" s="22"/>
      <c r="I51" s="26" t="str">
        <f t="shared" si="1"/>
        <v/>
      </c>
      <c r="J51" s="27" t="str">
        <f>IF(I51="","",(I51/I$70))</f>
        <v/>
      </c>
    </row>
    <row r="52" spans="2:11" x14ac:dyDescent="0.2">
      <c r="B52" s="3" t="s">
        <v>52</v>
      </c>
      <c r="C52" s="13">
        <v>1</v>
      </c>
      <c r="D52" s="18"/>
      <c r="E52" s="18"/>
      <c r="F52" s="18"/>
      <c r="G52" s="18"/>
      <c r="H52" s="22"/>
      <c r="I52" s="26" t="str">
        <f t="shared" si="1"/>
        <v/>
      </c>
      <c r="J52" s="27" t="str">
        <f>IF(I52="","",(I52/I$70))</f>
        <v/>
      </c>
    </row>
    <row r="53" spans="2:11" x14ac:dyDescent="0.2">
      <c r="B53" s="3" t="s">
        <v>51</v>
      </c>
      <c r="C53" s="13">
        <v>3</v>
      </c>
      <c r="D53" s="18"/>
      <c r="E53" s="18"/>
      <c r="F53" s="18"/>
      <c r="G53" s="18"/>
      <c r="H53" s="22"/>
      <c r="I53" s="26" t="str">
        <f t="shared" si="1"/>
        <v/>
      </c>
      <c r="J53" s="27" t="str">
        <f>IF(I53="","",(I53/I$70))</f>
        <v/>
      </c>
    </row>
    <row r="54" spans="2:11" x14ac:dyDescent="0.2">
      <c r="B54" s="4" t="s">
        <v>53</v>
      </c>
      <c r="C54" s="14">
        <v>1</v>
      </c>
      <c r="D54" s="18"/>
      <c r="E54" s="18"/>
      <c r="F54" s="18"/>
      <c r="G54" s="18"/>
      <c r="H54" s="22"/>
      <c r="I54" s="26" t="str">
        <f t="shared" si="1"/>
        <v/>
      </c>
      <c r="J54" s="27" t="str">
        <f>IF(I54="","",(I54/I$70))</f>
        <v/>
      </c>
    </row>
    <row r="55" spans="2:11" x14ac:dyDescent="0.2">
      <c r="B55" s="46" t="s">
        <v>55</v>
      </c>
      <c r="C55" s="47"/>
      <c r="D55" s="47"/>
      <c r="E55" s="47"/>
      <c r="F55" s="47"/>
      <c r="G55" s="47"/>
      <c r="H55" s="47"/>
      <c r="I55" s="47"/>
      <c r="J55" s="48"/>
    </row>
    <row r="56" spans="2:11" x14ac:dyDescent="0.2">
      <c r="B56" s="5" t="s">
        <v>59</v>
      </c>
      <c r="C56" s="15" t="s">
        <v>77</v>
      </c>
      <c r="D56" s="18"/>
      <c r="E56" s="18"/>
      <c r="F56" s="18"/>
      <c r="G56" s="18"/>
      <c r="H56" s="22"/>
      <c r="I56" s="26" t="str">
        <f t="shared" si="1"/>
        <v/>
      </c>
      <c r="J56" s="27" t="str">
        <f>IF(I56="","",(I56/I$70))</f>
        <v/>
      </c>
    </row>
    <row r="57" spans="2:11" x14ac:dyDescent="0.2">
      <c r="B57" s="5" t="s">
        <v>60</v>
      </c>
      <c r="C57" s="15" t="s">
        <v>77</v>
      </c>
      <c r="D57" s="18"/>
      <c r="E57" s="18"/>
      <c r="F57" s="18"/>
      <c r="G57" s="18"/>
      <c r="H57" s="22"/>
      <c r="I57" s="26" t="str">
        <f>IF(SUM(D57:H57)=0,"",SUM(D57:H57))</f>
        <v/>
      </c>
      <c r="J57" s="27" t="str">
        <f>IF(I57="","",(I57/I$70))</f>
        <v/>
      </c>
    </row>
    <row r="58" spans="2:11" x14ac:dyDescent="0.2">
      <c r="B58" s="5" t="s">
        <v>58</v>
      </c>
      <c r="C58" s="15" t="s">
        <v>77</v>
      </c>
      <c r="D58" s="18"/>
      <c r="E58" s="18"/>
      <c r="F58" s="18"/>
      <c r="G58" s="18"/>
      <c r="H58" s="22"/>
      <c r="I58" s="26" t="str">
        <f t="shared" ref="I58:I66" si="2">IF(SUM(D58:H58)=0,"",SUM(D58:H58))</f>
        <v/>
      </c>
      <c r="J58" s="27" t="str">
        <f>IF(I58="","",(I58/I$70))</f>
        <v/>
      </c>
    </row>
    <row r="59" spans="2:11" x14ac:dyDescent="0.2">
      <c r="B59" s="5" t="s">
        <v>57</v>
      </c>
      <c r="C59" s="15" t="s">
        <v>78</v>
      </c>
      <c r="D59" s="18"/>
      <c r="E59" s="18"/>
      <c r="F59" s="18"/>
      <c r="G59" s="18"/>
      <c r="H59" s="22"/>
      <c r="I59" s="26" t="str">
        <f t="shared" si="2"/>
        <v/>
      </c>
      <c r="J59" s="27" t="str">
        <f>IF(I59="","",(I59/I$70))</f>
        <v/>
      </c>
    </row>
    <row r="60" spans="2:11" x14ac:dyDescent="0.2">
      <c r="B60" s="5" t="s">
        <v>65</v>
      </c>
      <c r="C60" s="15" t="s">
        <v>78</v>
      </c>
      <c r="D60" s="18"/>
      <c r="E60" s="18"/>
      <c r="F60" s="18"/>
      <c r="G60" s="18"/>
      <c r="H60" s="22"/>
      <c r="I60" s="26" t="str">
        <f t="shared" si="2"/>
        <v/>
      </c>
      <c r="J60" s="27" t="str">
        <f>IF(I60="","",(I60/I$70))</f>
        <v/>
      </c>
    </row>
    <row r="61" spans="2:11" x14ac:dyDescent="0.2">
      <c r="B61" s="5" t="s">
        <v>66</v>
      </c>
      <c r="C61" s="15" t="s">
        <v>78</v>
      </c>
      <c r="D61" s="18"/>
      <c r="E61" s="18"/>
      <c r="F61" s="18"/>
      <c r="G61" s="18"/>
      <c r="H61" s="22"/>
      <c r="I61" s="26" t="str">
        <f t="shared" si="2"/>
        <v/>
      </c>
      <c r="J61" s="27" t="str">
        <f>IF(I61="","",(I61/I$70))</f>
        <v/>
      </c>
    </row>
    <row r="62" spans="2:11" x14ac:dyDescent="0.2">
      <c r="B62" s="5" t="s">
        <v>67</v>
      </c>
      <c r="C62" s="15" t="s">
        <v>79</v>
      </c>
      <c r="D62" s="18"/>
      <c r="E62" s="18"/>
      <c r="F62" s="18"/>
      <c r="G62" s="18"/>
      <c r="H62" s="22"/>
      <c r="I62" s="26" t="str">
        <f t="shared" si="2"/>
        <v/>
      </c>
      <c r="J62" s="27" t="str">
        <f>IF(I62="","",(I62/I$70))</f>
        <v/>
      </c>
    </row>
    <row r="63" spans="2:11" x14ac:dyDescent="0.2">
      <c r="B63" s="5" t="s">
        <v>56</v>
      </c>
      <c r="C63" s="15" t="s">
        <v>56</v>
      </c>
      <c r="D63" s="18"/>
      <c r="E63" s="18"/>
      <c r="F63" s="18"/>
      <c r="G63" s="18"/>
      <c r="H63" s="22"/>
      <c r="I63" s="26" t="str">
        <f t="shared" si="2"/>
        <v/>
      </c>
      <c r="J63" s="27" t="str">
        <f>IF(I63="","",(I63/I$70))</f>
        <v/>
      </c>
    </row>
    <row r="64" spans="2:11" x14ac:dyDescent="0.2">
      <c r="B64" s="5" t="s">
        <v>68</v>
      </c>
      <c r="C64" s="15" t="s">
        <v>78</v>
      </c>
      <c r="D64" s="18"/>
      <c r="E64" s="18"/>
      <c r="F64" s="18"/>
      <c r="G64" s="18"/>
      <c r="H64" s="22"/>
      <c r="I64" s="26" t="str">
        <f t="shared" si="2"/>
        <v/>
      </c>
      <c r="J64" s="27" t="str">
        <f>IF(I64="","",(I64/I$70))</f>
        <v/>
      </c>
    </row>
    <row r="65" spans="1:13" x14ac:dyDescent="0.2">
      <c r="B65" s="6" t="s">
        <v>63</v>
      </c>
      <c r="C65" s="15" t="s">
        <v>78</v>
      </c>
      <c r="D65" s="18"/>
      <c r="E65" s="18"/>
      <c r="F65" s="18"/>
      <c r="G65" s="18"/>
      <c r="H65" s="22"/>
      <c r="I65" s="26" t="str">
        <f t="shared" si="2"/>
        <v/>
      </c>
      <c r="J65" s="27" t="str">
        <f>IF(I65="","",(I65/I$70))</f>
        <v/>
      </c>
    </row>
    <row r="66" spans="1:13" x14ac:dyDescent="0.2">
      <c r="B66" s="5" t="s">
        <v>64</v>
      </c>
      <c r="C66" s="15" t="s">
        <v>77</v>
      </c>
      <c r="D66" s="18"/>
      <c r="E66" s="18"/>
      <c r="F66" s="18"/>
      <c r="G66" s="18"/>
      <c r="H66" s="22"/>
      <c r="I66" s="26" t="str">
        <f t="shared" si="2"/>
        <v/>
      </c>
      <c r="J66" s="27" t="str">
        <f>IF(I66="","",(I66/I$70))</f>
        <v/>
      </c>
    </row>
    <row r="67" spans="1:13" ht="13.5" thickBot="1" x14ac:dyDescent="0.25">
      <c r="B67" s="7" t="s">
        <v>69</v>
      </c>
      <c r="C67" s="8" t="s">
        <v>79</v>
      </c>
      <c r="D67" s="18"/>
      <c r="E67" s="18"/>
      <c r="F67" s="18"/>
      <c r="G67" s="18"/>
      <c r="H67" s="22"/>
      <c r="I67" s="26" t="str">
        <f>IF(SUM(D67:H67)=0,"",SUM(D67:H67))</f>
        <v/>
      </c>
      <c r="J67" s="27" t="str">
        <f>IF(I67="","",(I67/I$70))</f>
        <v/>
      </c>
    </row>
    <row r="68" spans="1:13" x14ac:dyDescent="0.2">
      <c r="B68" s="34" t="s">
        <v>61</v>
      </c>
      <c r="C68" s="35"/>
      <c r="D68" s="19">
        <f t="shared" ref="D68:I68" si="3">SUM(D5:D54)</f>
        <v>0</v>
      </c>
      <c r="E68" s="19">
        <f t="shared" si="3"/>
        <v>0</v>
      </c>
      <c r="F68" s="19">
        <f t="shared" si="3"/>
        <v>0</v>
      </c>
      <c r="G68" s="19">
        <f t="shared" si="3"/>
        <v>0</v>
      </c>
      <c r="H68" s="23">
        <f t="shared" si="3"/>
        <v>0</v>
      </c>
      <c r="I68" s="28">
        <f t="shared" si="3"/>
        <v>0</v>
      </c>
      <c r="J68" s="27">
        <f>IF(I70=0,0,(I68/I$70))</f>
        <v>0</v>
      </c>
    </row>
    <row r="69" spans="1:13" ht="13.5" thickBot="1" x14ac:dyDescent="0.25">
      <c r="B69" s="36" t="s">
        <v>55</v>
      </c>
      <c r="C69" s="37"/>
      <c r="D69" s="19">
        <f t="shared" ref="D69:I69" si="4">SUM(D56:D67)</f>
        <v>0</v>
      </c>
      <c r="E69" s="19">
        <f t="shared" si="4"/>
        <v>0</v>
      </c>
      <c r="F69" s="19">
        <f t="shared" si="4"/>
        <v>0</v>
      </c>
      <c r="G69" s="19">
        <f t="shared" si="4"/>
        <v>0</v>
      </c>
      <c r="H69" s="23">
        <f t="shared" si="4"/>
        <v>0</v>
      </c>
      <c r="I69" s="28">
        <f t="shared" si="4"/>
        <v>0</v>
      </c>
      <c r="J69" s="27">
        <f>IF(I70=0,0,(I69/I$70))</f>
        <v>0</v>
      </c>
    </row>
    <row r="70" spans="1:13" ht="16.5" thickBot="1" x14ac:dyDescent="0.3">
      <c r="B70" s="9" t="s">
        <v>2</v>
      </c>
      <c r="C70" s="16"/>
      <c r="D70" s="29">
        <f t="shared" ref="D70:J70" si="5">SUM(D5:D67)</f>
        <v>0</v>
      </c>
      <c r="E70" s="29">
        <f t="shared" si="5"/>
        <v>0</v>
      </c>
      <c r="F70" s="29">
        <f t="shared" si="5"/>
        <v>0</v>
      </c>
      <c r="G70" s="29">
        <f t="shared" si="5"/>
        <v>0</v>
      </c>
      <c r="H70" s="30">
        <f t="shared" si="5"/>
        <v>0</v>
      </c>
      <c r="I70" s="31">
        <f t="shared" si="5"/>
        <v>0</v>
      </c>
      <c r="J70" s="32">
        <f t="shared" si="5"/>
        <v>0</v>
      </c>
    </row>
    <row r="71" spans="1:13" x14ac:dyDescent="0.2">
      <c r="A71" s="49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1"/>
      <c r="M71" s="1"/>
    </row>
    <row r="72" spans="1:13" s="1" customFormat="1" x14ac:dyDescent="0.2">
      <c r="A72" s="50"/>
      <c r="B72" s="50"/>
      <c r="C72" s="51" t="s">
        <v>54</v>
      </c>
      <c r="D72" s="50"/>
      <c r="E72" s="50"/>
      <c r="F72" s="50"/>
      <c r="G72" s="50"/>
      <c r="H72" s="50"/>
      <c r="I72" s="52"/>
      <c r="J72" s="53"/>
      <c r="K72" s="50"/>
    </row>
    <row r="73" spans="1:13" s="1" customFormat="1" x14ac:dyDescent="0.2">
      <c r="A73" s="50"/>
      <c r="B73" s="50"/>
      <c r="C73" s="51">
        <v>1</v>
      </c>
      <c r="D73" s="50"/>
      <c r="E73" s="50"/>
      <c r="F73" s="50"/>
      <c r="G73" s="50"/>
      <c r="H73" s="50"/>
      <c r="I73" s="52"/>
      <c r="J73" s="53"/>
      <c r="K73" s="50"/>
    </row>
    <row r="74" spans="1:13" s="1" customFormat="1" x14ac:dyDescent="0.2">
      <c r="A74" s="50"/>
      <c r="B74" s="50"/>
      <c r="C74" s="51" t="s">
        <v>54</v>
      </c>
      <c r="D74" s="50"/>
      <c r="E74" s="50"/>
      <c r="F74" s="50"/>
      <c r="G74" s="50"/>
      <c r="H74" s="50"/>
      <c r="I74" s="52"/>
      <c r="J74" s="53"/>
      <c r="K74" s="50"/>
    </row>
    <row r="75" spans="1:13" s="1" customFormat="1" x14ac:dyDescent="0.2">
      <c r="A75" s="50"/>
      <c r="B75" s="50"/>
      <c r="C75" s="51">
        <v>2</v>
      </c>
      <c r="D75" s="50"/>
      <c r="E75" s="50"/>
      <c r="F75" s="50"/>
      <c r="G75" s="50"/>
      <c r="H75" s="50"/>
      <c r="I75" s="52"/>
      <c r="J75" s="53"/>
      <c r="K75" s="50"/>
      <c r="L75"/>
      <c r="M75"/>
    </row>
    <row r="76" spans="1:13" x14ac:dyDescent="0.2">
      <c r="A76" s="50"/>
      <c r="B76" s="54"/>
      <c r="C76" s="51" t="s">
        <v>54</v>
      </c>
      <c r="D76" s="50"/>
      <c r="E76" s="50"/>
      <c r="F76" s="50"/>
      <c r="G76" s="50"/>
      <c r="H76" s="50"/>
      <c r="I76" s="55"/>
      <c r="J76" s="56"/>
      <c r="K76" s="50"/>
    </row>
    <row r="77" spans="1:13" x14ac:dyDescent="0.2">
      <c r="A77" s="50"/>
      <c r="B77" s="54"/>
      <c r="C77" s="51">
        <v>3</v>
      </c>
      <c r="D77" s="50"/>
      <c r="E77" s="50"/>
      <c r="F77" s="50"/>
      <c r="G77" s="50"/>
      <c r="H77" s="50"/>
      <c r="I77" s="55"/>
      <c r="J77" s="56"/>
      <c r="K77" s="50"/>
    </row>
    <row r="78" spans="1:13" x14ac:dyDescent="0.2">
      <c r="A78" s="50"/>
      <c r="B78" s="50"/>
      <c r="C78" s="51" t="s">
        <v>54</v>
      </c>
      <c r="D78" s="50"/>
      <c r="E78" s="50"/>
      <c r="F78" s="50"/>
      <c r="G78" s="50"/>
      <c r="H78" s="50"/>
      <c r="I78" s="50"/>
      <c r="J78" s="50"/>
      <c r="K78" s="50"/>
    </row>
    <row r="79" spans="1:13" x14ac:dyDescent="0.2">
      <c r="A79" s="50"/>
      <c r="B79" s="50"/>
      <c r="C79" s="51" t="s">
        <v>56</v>
      </c>
      <c r="D79" s="50"/>
      <c r="E79" s="50"/>
      <c r="F79" s="50"/>
      <c r="G79" s="50"/>
      <c r="H79" s="50"/>
      <c r="I79" s="50"/>
      <c r="J79" s="50"/>
      <c r="K79" s="50"/>
    </row>
    <row r="80" spans="1:13" x14ac:dyDescent="0.2">
      <c r="A80" s="50"/>
      <c r="B80" s="50"/>
      <c r="C80" s="50" t="s">
        <v>54</v>
      </c>
      <c r="D80" s="50"/>
      <c r="E80" s="50"/>
      <c r="F80" s="50"/>
      <c r="G80" s="50"/>
      <c r="H80" s="50"/>
      <c r="I80" s="50"/>
      <c r="J80" s="50"/>
      <c r="K80" s="50"/>
    </row>
    <row r="81" spans="1:11" x14ac:dyDescent="0.2">
      <c r="A81" s="50"/>
      <c r="B81" s="50"/>
      <c r="C81" s="50" t="s">
        <v>77</v>
      </c>
      <c r="D81" s="50"/>
      <c r="E81" s="50"/>
      <c r="F81" s="50"/>
      <c r="G81" s="50"/>
      <c r="H81" s="50"/>
      <c r="I81" s="50"/>
      <c r="J81" s="50"/>
      <c r="K81" s="50"/>
    </row>
    <row r="82" spans="1:11" x14ac:dyDescent="0.2">
      <c r="A82" s="50"/>
      <c r="B82" s="50"/>
      <c r="C82" s="50" t="s">
        <v>54</v>
      </c>
      <c r="D82" s="50"/>
      <c r="E82" s="50"/>
      <c r="F82" s="50"/>
      <c r="G82" s="50"/>
      <c r="H82" s="50"/>
      <c r="I82" s="50"/>
      <c r="J82" s="50"/>
      <c r="K82" s="50"/>
    </row>
    <row r="83" spans="1:11" x14ac:dyDescent="0.2">
      <c r="A83" s="50"/>
      <c r="B83" s="50"/>
      <c r="C83" s="50" t="s">
        <v>78</v>
      </c>
      <c r="D83" s="50"/>
      <c r="E83" s="50"/>
      <c r="F83" s="50"/>
      <c r="G83" s="50"/>
      <c r="H83" s="50"/>
      <c r="I83" s="50"/>
      <c r="J83" s="50"/>
      <c r="K83" s="50"/>
    </row>
    <row r="84" spans="1:11" x14ac:dyDescent="0.2">
      <c r="A84" s="50"/>
      <c r="B84" s="50"/>
      <c r="C84" s="50" t="s">
        <v>54</v>
      </c>
      <c r="D84" s="50"/>
      <c r="E84" s="50"/>
      <c r="F84" s="50"/>
      <c r="G84" s="50"/>
      <c r="H84" s="50"/>
      <c r="I84" s="50"/>
      <c r="J84" s="50"/>
      <c r="K84" s="50"/>
    </row>
    <row r="85" spans="1:11" x14ac:dyDescent="0.2">
      <c r="A85" s="50"/>
      <c r="B85" s="50"/>
      <c r="C85" s="50" t="s">
        <v>79</v>
      </c>
      <c r="D85" s="50"/>
      <c r="E85" s="50"/>
      <c r="F85" s="50"/>
      <c r="G85" s="50"/>
      <c r="H85" s="50"/>
      <c r="I85" s="50"/>
      <c r="J85" s="50"/>
      <c r="K85" s="50"/>
    </row>
    <row r="86" spans="1:11" x14ac:dyDescent="0.2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</row>
    <row r="87" spans="1:11" x14ac:dyDescent="0.2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</row>
    <row r="88" spans="1:11" x14ac:dyDescent="0.2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</row>
    <row r="89" spans="1:11" x14ac:dyDescent="0.2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</row>
    <row r="90" spans="1:11" x14ac:dyDescent="0.2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</row>
    <row r="91" spans="1:11" x14ac:dyDescent="0.2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</row>
    <row r="92" spans="1:11" x14ac:dyDescent="0.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</row>
    <row r="93" spans="1:11" x14ac:dyDescent="0.2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</row>
    <row r="94" spans="1:11" x14ac:dyDescent="0.2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</row>
    <row r="95" spans="1:11" x14ac:dyDescent="0.2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</row>
    <row r="96" spans="1:11" x14ac:dyDescent="0.2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</row>
    <row r="97" spans="1:11" x14ac:dyDescent="0.2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</row>
    <row r="98" spans="1:11" x14ac:dyDescent="0.2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</row>
    <row r="99" spans="1:11" x14ac:dyDescent="0.2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</row>
    <row r="100" spans="1:11" x14ac:dyDescent="0.2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</row>
    <row r="101" spans="1:11" x14ac:dyDescent="0.2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</row>
    <row r="102" spans="1:11" x14ac:dyDescent="0.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</row>
    <row r="103" spans="1:11" x14ac:dyDescent="0.2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</row>
    <row r="104" spans="1:11" x14ac:dyDescent="0.2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</row>
    <row r="105" spans="1:11" x14ac:dyDescent="0.2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</row>
    <row r="106" spans="1:11" x14ac:dyDescent="0.2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</row>
    <row r="107" spans="1:11" x14ac:dyDescent="0.2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</row>
    <row r="108" spans="1:11" x14ac:dyDescent="0.2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</row>
    <row r="109" spans="1:11" x14ac:dyDescent="0.2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</row>
    <row r="110" spans="1:11" x14ac:dyDescent="0.2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</row>
  </sheetData>
  <mergeCells count="9">
    <mergeCell ref="B68:C68"/>
    <mergeCell ref="B69:C69"/>
    <mergeCell ref="K15:M15"/>
    <mergeCell ref="K19:M19"/>
    <mergeCell ref="K17:M17"/>
    <mergeCell ref="K16:M16"/>
    <mergeCell ref="K20:M20"/>
    <mergeCell ref="K21:M21"/>
    <mergeCell ref="B55:J55"/>
  </mergeCells>
  <phoneticPr fontId="0" type="noConversion"/>
  <printOptions horizontalCentered="1"/>
  <pageMargins left="0.25" right="0.25" top="0.92" bottom="0.41" header="0" footer="0.21"/>
  <pageSetup scale="79" orientation="portrait" r:id="rId1"/>
  <headerFooter alignWithMargins="0">
    <oddHeader>&amp;L
Old Republic Insurance Company of Canada&amp;C
&amp;"Times New Roman,Bold"&amp;20IFTA Worksheet&amp;"Arial,Regular"&amp;10
&amp;R
&amp;"Arial,Italic""We are with you  ... mile after mile ! "</oddHeader>
    <oddFooter>&amp;L&amp;12&amp;Z&amp;F&amp;R&amp;"Arial,Bold"&amp;12&amp;D                &amp;T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50019726E0E749B7927816AC6F3FB3" ma:contentTypeVersion="10" ma:contentTypeDescription="Create a new document." ma:contentTypeScope="" ma:versionID="bfb7dc3d7e52d69e0df00aaeef9960df">
  <xsd:schema xmlns:xsd="http://www.w3.org/2001/XMLSchema" xmlns:xs="http://www.w3.org/2001/XMLSchema" xmlns:p="http://schemas.microsoft.com/office/2006/metadata/properties" xmlns:ns2="7cd6da79-0f7c-4597-930d-873f4f81b663" xmlns:ns3="fcba6855-6ac9-454f-82ed-a9e32bd686ed" targetNamespace="http://schemas.microsoft.com/office/2006/metadata/properties" ma:root="true" ma:fieldsID="9f0f81190ecbe825546b48425b29e86e" ns2:_="" ns3:_="">
    <xsd:import namespace="7cd6da79-0f7c-4597-930d-873f4f81b663"/>
    <xsd:import namespace="fcba6855-6ac9-454f-82ed-a9e32bd68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d6da79-0f7c-4597-930d-873f4f81b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741f092-0f45-4ed4-ae5e-0ca3084d0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ba6855-6ac9-454f-82ed-a9e32bd686e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76b319-fb36-4625-b63b-084bd8f899b4}" ma:internalName="TaxCatchAll" ma:showField="CatchAllData" ma:web="fcba6855-6ac9-454f-82ed-a9e32bd686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ba6855-6ac9-454f-82ed-a9e32bd686ed" xsi:nil="true"/>
    <lcf76f155ced4ddcb4097134ff3c332f xmlns="7cd6da79-0f7c-4597-930d-873f4f81b66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6DFDB9-540E-475C-9798-4A2C0E49CE43}"/>
</file>

<file path=customXml/itemProps2.xml><?xml version="1.0" encoding="utf-8"?>
<ds:datastoreItem xmlns:ds="http://schemas.openxmlformats.org/officeDocument/2006/customXml" ds:itemID="{CD2F9F65-F23D-41C5-8D33-B017A234D93D}"/>
</file>

<file path=customXml/itemProps3.xml><?xml version="1.0" encoding="utf-8"?>
<ds:datastoreItem xmlns:ds="http://schemas.openxmlformats.org/officeDocument/2006/customXml" ds:itemID="{A036DD83-3D00-4DA6-A03E-8C57C873C1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53</vt:i4>
      </vt:variant>
    </vt:vector>
  </HeadingPairs>
  <TitlesOfParts>
    <vt:vector size="54" baseType="lpstr">
      <vt:lpstr>DATA</vt:lpstr>
      <vt:lpstr>AK</vt:lpstr>
      <vt:lpstr>AL</vt:lpstr>
      <vt:lpstr>AR</vt:lpstr>
      <vt:lpstr>AZ</vt:lpstr>
      <vt:lpstr>CA</vt:lpstr>
      <vt:lpstr>CAN</vt:lpstr>
      <vt:lpstr>CO</vt:lpstr>
      <vt:lpstr>CT</vt:lpstr>
      <vt:lpstr>DC</vt:lpstr>
      <vt:lpstr>DE</vt:lpstr>
      <vt:lpstr>FL</vt:lpstr>
      <vt:lpstr>GA</vt:lpstr>
      <vt:lpstr>IA</vt:lpstr>
      <vt:lpstr>ID</vt:lpstr>
      <vt:lpstr>IL</vt:lpstr>
      <vt:lpstr>IN</vt:lpstr>
      <vt:lpstr>KS</vt:lpstr>
      <vt:lpstr>KY</vt:lpstr>
      <vt:lpstr>LA</vt:lpstr>
      <vt:lpstr>MA</vt:lpstr>
      <vt:lpstr>MD</vt:lpstr>
      <vt:lpstr>ME</vt:lpstr>
      <vt:lpstr>MI</vt:lpstr>
      <vt:lpstr>MN</vt:lpstr>
      <vt:lpstr>MO</vt:lpstr>
      <vt:lpstr>MS</vt:lpstr>
      <vt:lpstr>MT</vt:lpstr>
      <vt:lpstr>NC</vt:lpstr>
      <vt:lpstr>ND</vt:lpstr>
      <vt:lpstr>NE</vt:lpstr>
      <vt:lpstr>NH</vt:lpstr>
      <vt:lpstr>NJ</vt:lpstr>
      <vt:lpstr>NM</vt:lpstr>
      <vt:lpstr>NV</vt:lpstr>
      <vt:lpstr>NY</vt:lpstr>
      <vt:lpstr>OH</vt:lpstr>
      <vt:lpstr>OK</vt:lpstr>
      <vt:lpstr>OR</vt:lpstr>
      <vt:lpstr>PA</vt:lpstr>
      <vt:lpstr>DATA!Print_Area</vt:lpstr>
      <vt:lpstr>PRINT1</vt:lpstr>
      <vt:lpstr>RI</vt:lpstr>
      <vt:lpstr>SC</vt:lpstr>
      <vt:lpstr>SD</vt:lpstr>
      <vt:lpstr>TN</vt:lpstr>
      <vt:lpstr>TX</vt:lpstr>
      <vt:lpstr>UT</vt:lpstr>
      <vt:lpstr>VA</vt:lpstr>
      <vt:lpstr>VT</vt:lpstr>
      <vt:lpstr>WA</vt:lpstr>
      <vt:lpstr>WI</vt:lpstr>
      <vt:lpstr>WV</vt:lpstr>
      <vt:lpstr>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Mileage Template</dc:title>
  <dc:creator>Terri Boodhram</dc:creator>
  <cp:lastModifiedBy>Aaron Hinks</cp:lastModifiedBy>
  <cp:lastPrinted>2005-04-20T20:39:11Z</cp:lastPrinted>
  <dcterms:created xsi:type="dcterms:W3CDTF">2000-06-21T19:54:26Z</dcterms:created>
  <dcterms:modified xsi:type="dcterms:W3CDTF">2025-03-14T00:35:53Z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0x010100F150019726E0E749B7927816AC6F3FB3</vt:lpwstr>
  </property>
</Properties>
</file>